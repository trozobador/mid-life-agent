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ads" sheetId="1" state="visible" r:id="rId3"/>
    <sheet name="Resumo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<sst xmlns="http://schemas.openxmlformats.org/spreadsheetml/2006/main" count="35" uniqueCount="35">
  <si>
    <t xml:space="preserve">R238 — CRM de Leads</t>
  </si>
  <si>
    <t xml:space="preserve">Preencha uma linha por lead capturado (site, LinkedIn, WhatsApp, indicação). Colunas em amarelo = editáveis.</t>
  </si>
  <si>
    <t xml:space="preserve">Data</t>
  </si>
  <si>
    <t xml:space="preserve">Nome</t>
  </si>
  <si>
    <t xml:space="preserve">Empresa</t>
  </si>
  <si>
    <t xml:space="preserve">Contato (e-mail/WhatsApp)</t>
  </si>
  <si>
    <t xml:space="preserve">Origem</t>
  </si>
  <si>
    <t xml:space="preserve">Processo a automatizar</t>
  </si>
  <si>
    <t xml:space="preserve">Status</t>
  </si>
  <si>
    <t xml:space="preserve">Próxima ação</t>
  </si>
  <si>
    <t xml:space="preserve">Data próxima ação</t>
  </si>
  <si>
    <t xml:space="preserve">Observações</t>
  </si>
  <si>
    <t xml:space="preserve">2026-08-24</t>
  </si>
  <si>
    <t xml:space="preserve">Exemplo — Fernanda Souza</t>
  </si>
  <si>
    <t xml:space="preserve">Exemplo — Grupo Vetraria</t>
  </si>
  <si>
    <t xml:space="preserve">fernanda@grupovetraria.com.br</t>
  </si>
  <si>
    <t xml:space="preserve">LinkedIn (post)</t>
  </si>
  <si>
    <t xml:space="preserve">Triagem inicial de atendimento no WhatsApp</t>
  </si>
  <si>
    <t xml:space="preserve">Novo</t>
  </si>
  <si>
    <t xml:space="preserve">Ligar para agendar diagnóstico</t>
  </si>
  <si>
    <t xml:space="preserve">2026-08-26</t>
  </si>
  <si>
    <t xml:space="preserve">Veio do post do case Drielly, mencionou volume alto de mensagens repetidas</t>
  </si>
  <si>
    <t xml:space="preserve">R238 — Resumo do Funil</t>
  </si>
  <si>
    <t xml:space="preserve">Atualiza automaticamente a partir da aba Leads.</t>
  </si>
  <si>
    <t xml:space="preserve">Etapa do funil</t>
  </si>
  <si>
    <t xml:space="preserve">Quantidade</t>
  </si>
  <si>
    <t xml:space="preserve">Total de leads</t>
  </si>
  <si>
    <t xml:space="preserve">Novos</t>
  </si>
  <si>
    <t xml:space="preserve">Contatados</t>
  </si>
  <si>
    <t xml:space="preserve">Diagnóstico agendado</t>
  </si>
  <si>
    <t xml:space="preserve">Diagnóstico realizado</t>
  </si>
  <si>
    <t xml:space="preserve">Proposta enviada</t>
  </si>
  <si>
    <t xml:space="preserve">Fechado - ganho</t>
  </si>
  <si>
    <t xml:space="preserve">Fechado - perdido</t>
  </si>
  <si>
    <t xml:space="preserve">Taxa de conversão (fechado-ganho / total)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</si>
</sst>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General"/>
    <numFmt numFmtId="167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B2A4A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8A8A8A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1B2A4A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2EFEA"/>
        <bgColor rgb="FFFFFFFF"/>
      </patternFill>
    </fill>
    <fill>
      <patternFill patternType="solid">
        <fgColor rgb="FFFFFFFF"/>
        <bgColor rgb="FFF2EFE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3C4"/>
      </left>
      <right style="thin">
        <color rgb="FFD9D3C4"/>
      </right>
      <top style="thin">
        <color rgb="FFD9D3C4"/>
      </top>
      <bottom style="thin">
        <color rgb="FFD9D3C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3C4"/>
      <rgbColor rgb="FF8A8A8A"/>
      <rgbColor rgb="FF9999FF"/>
      <rgbColor rgb="FF993366"/>
      <rgbColor rgb="FFF2EFEA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26"/>
    <col collapsed="false" customWidth="true" hidden="false" outlineLevel="0" max="5" min="5" style="0" width="16"/>
    <col collapsed="false" customWidth="true" hidden="false" outlineLevel="0" max="6" min="6" style="0" width="30"/>
    <col collapsed="false" customWidth="true" hidden="false" outlineLevel="0" max="7" min="7" style="0" width="16"/>
    <col collapsed="false" customWidth="true" hidden="false" outlineLevel="0" max="8" min="8" style="0" width="22"/>
    <col collapsed="false" customWidth="true" hidden="false" outlineLevel="0" max="9" min="9" style="0" width="16"/>
    <col collapsed="false" customWidth="true" hidden="false" outlineLevel="0" max="10" min="10" style="0" width="28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35.05" hidden="false" customHeight="false" outlineLevel="0" collapsed="false">
      <c r="A5" s="4" t="s">
        <v>12</v>
      </c>
      <c r="B5" s="4" t="s">
        <v>13</v>
      </c>
      <c r="C5" s="4" t="s">
        <v>14</v>
      </c>
      <c r="D5" s="4" t="s">
        <v>15</v>
      </c>
      <c r="E5" s="4" t="s">
        <v>16</v>
      </c>
      <c r="F5" s="4" t="s">
        <v>17</v>
      </c>
      <c r="G5" s="4" t="s">
        <v>18</v>
      </c>
      <c r="H5" s="4" t="s">
        <v>19</v>
      </c>
      <c r="I5" s="4" t="s">
        <v>20</v>
      </c>
      <c r="J5" s="4" t="s">
        <v>21</v>
      </c>
    </row>
    <row r="6" customFormat="false" ht="15" hidden="false" customHeight="false" outlineLevel="0" collapsed="false">
      <c r="A6" s="5"/>
      <c r="B6" s="6"/>
      <c r="C6" s="6"/>
      <c r="D6" s="6"/>
      <c r="E6" s="6"/>
      <c r="F6" s="6"/>
      <c r="G6" s="6"/>
      <c r="H6" s="6"/>
      <c r="I6" s="5"/>
      <c r="J6" s="6"/>
    </row>
    <row r="7" customFormat="false" ht="15" hidden="false" customHeight="false" outlineLevel="0" collapsed="false">
      <c r="A7" s="5"/>
      <c r="B7" s="6"/>
      <c r="C7" s="6"/>
      <c r="D7" s="6"/>
      <c r="E7" s="6"/>
      <c r="F7" s="6"/>
      <c r="G7" s="6"/>
      <c r="H7" s="6"/>
      <c r="I7" s="5"/>
      <c r="J7" s="6"/>
    </row>
    <row r="8" customFormat="false" ht="15" hidden="false" customHeight="false" outlineLevel="0" collapsed="false">
      <c r="A8" s="5"/>
      <c r="B8" s="6"/>
      <c r="C8" s="6"/>
      <c r="D8" s="6"/>
      <c r="E8" s="6"/>
      <c r="F8" s="6"/>
      <c r="G8" s="6"/>
      <c r="H8" s="6"/>
      <c r="I8" s="5"/>
      <c r="J8" s="6"/>
    </row>
    <row r="9" customFormat="false" ht="15" hidden="false" customHeight="false" outlineLevel="0" collapsed="false">
      <c r="A9" s="5"/>
      <c r="B9" s="6"/>
      <c r="C9" s="6"/>
      <c r="D9" s="6"/>
      <c r="E9" s="6"/>
      <c r="F9" s="6"/>
      <c r="G9" s="6"/>
      <c r="H9" s="6"/>
      <c r="I9" s="5"/>
      <c r="J9" s="6"/>
    </row>
    <row r="10" customFormat="false" ht="15" hidden="false" customHeight="false" outlineLevel="0" collapsed="false">
      <c r="A10" s="5"/>
      <c r="B10" s="6"/>
      <c r="C10" s="6"/>
      <c r="D10" s="6"/>
      <c r="E10" s="6"/>
      <c r="F10" s="6"/>
      <c r="G10" s="6"/>
      <c r="H10" s="6"/>
      <c r="I10" s="5"/>
      <c r="J10" s="6"/>
    </row>
    <row r="11" customFormat="false" ht="15" hidden="false" customHeight="false" outlineLevel="0" collapsed="false">
      <c r="A11" s="5"/>
      <c r="B11" s="6"/>
      <c r="C11" s="6"/>
      <c r="D11" s="6"/>
      <c r="E11" s="6"/>
      <c r="F11" s="6"/>
      <c r="G11" s="6"/>
      <c r="H11" s="6"/>
      <c r="I11" s="5"/>
      <c r="J11" s="6"/>
    </row>
    <row r="12" customFormat="false" ht="15" hidden="false" customHeight="false" outlineLevel="0" collapsed="false">
      <c r="A12" s="5"/>
      <c r="B12" s="6"/>
      <c r="C12" s="6"/>
      <c r="D12" s="6"/>
      <c r="E12" s="6"/>
      <c r="F12" s="6"/>
      <c r="G12" s="6"/>
      <c r="H12" s="6"/>
      <c r="I12" s="5"/>
      <c r="J12" s="6"/>
    </row>
    <row r="13" customFormat="false" ht="15" hidden="false" customHeight="false" outlineLevel="0" collapsed="false">
      <c r="A13" s="5"/>
      <c r="B13" s="6"/>
      <c r="C13" s="6"/>
      <c r="D13" s="6"/>
      <c r="E13" s="6"/>
      <c r="F13" s="6"/>
      <c r="G13" s="6"/>
      <c r="H13" s="6"/>
      <c r="I13" s="5"/>
      <c r="J13" s="6"/>
    </row>
    <row r="14" customFormat="false" ht="15" hidden="false" customHeight="false" outlineLevel="0" collapsed="false">
      <c r="A14" s="5"/>
      <c r="B14" s="6"/>
      <c r="C14" s="6"/>
      <c r="D14" s="6"/>
      <c r="E14" s="6"/>
      <c r="F14" s="6"/>
      <c r="G14" s="6"/>
      <c r="H14" s="6"/>
      <c r="I14" s="5"/>
      <c r="J14" s="6"/>
    </row>
    <row r="15" customFormat="false" ht="15" hidden="false" customHeight="false" outlineLevel="0" collapsed="false">
      <c r="A15" s="5"/>
      <c r="B15" s="6"/>
      <c r="C15" s="6"/>
      <c r="D15" s="6"/>
      <c r="E15" s="6"/>
      <c r="F15" s="6"/>
      <c r="G15" s="6"/>
      <c r="H15" s="6"/>
      <c r="I15" s="5"/>
      <c r="J15" s="6"/>
    </row>
    <row r="16" customFormat="false" ht="15" hidden="false" customHeight="false" outlineLevel="0" collapsed="false">
      <c r="A16" s="5"/>
      <c r="B16" s="6"/>
      <c r="C16" s="6"/>
      <c r="D16" s="6"/>
      <c r="E16" s="6"/>
      <c r="F16" s="6"/>
      <c r="G16" s="6"/>
      <c r="H16" s="6"/>
      <c r="I16" s="5"/>
      <c r="J16" s="6"/>
    </row>
    <row r="17" customFormat="false" ht="15" hidden="false" customHeight="false" outlineLevel="0" collapsed="false">
      <c r="A17" s="5"/>
      <c r="B17" s="6"/>
      <c r="C17" s="6"/>
      <c r="D17" s="6"/>
      <c r="E17" s="6"/>
      <c r="F17" s="6"/>
      <c r="G17" s="6"/>
      <c r="H17" s="6"/>
      <c r="I17" s="5"/>
      <c r="J17" s="6"/>
    </row>
    <row r="18" customFormat="false" ht="15" hidden="false" customHeight="false" outlineLevel="0" collapsed="false">
      <c r="A18" s="5"/>
      <c r="B18" s="6"/>
      <c r="C18" s="6"/>
      <c r="D18" s="6"/>
      <c r="E18" s="6"/>
      <c r="F18" s="6"/>
      <c r="G18" s="6"/>
      <c r="H18" s="6"/>
      <c r="I18" s="5"/>
      <c r="J18" s="6"/>
    </row>
    <row r="19" customFormat="false" ht="15" hidden="false" customHeight="false" outlineLevel="0" collapsed="false">
      <c r="A19" s="5"/>
      <c r="B19" s="6"/>
      <c r="C19" s="6"/>
      <c r="D19" s="6"/>
      <c r="E19" s="6"/>
      <c r="F19" s="6"/>
      <c r="G19" s="6"/>
      <c r="H19" s="6"/>
      <c r="I19" s="5"/>
      <c r="J19" s="6"/>
    </row>
    <row r="20" customFormat="false" ht="15" hidden="false" customHeight="false" outlineLevel="0" collapsed="false">
      <c r="A20" s="5"/>
      <c r="B20" s="6"/>
      <c r="C20" s="6"/>
      <c r="D20" s="6"/>
      <c r="E20" s="6"/>
      <c r="F20" s="6"/>
      <c r="G20" s="6"/>
      <c r="H20" s="6"/>
      <c r="I20" s="5"/>
      <c r="J20" s="6"/>
    </row>
    <row r="21" customFormat="false" ht="15" hidden="false" customHeight="false" outlineLevel="0" collapsed="false">
      <c r="A21" s="5"/>
      <c r="B21" s="6"/>
      <c r="C21" s="6"/>
      <c r="D21" s="6"/>
      <c r="E21" s="6"/>
      <c r="F21" s="6"/>
      <c r="G21" s="6"/>
      <c r="H21" s="6"/>
      <c r="I21" s="5"/>
      <c r="J21" s="6"/>
    </row>
    <row r="22" customFormat="false" ht="15" hidden="false" customHeight="false" outlineLevel="0" collapsed="false">
      <c r="A22" s="5"/>
      <c r="B22" s="6"/>
      <c r="C22" s="6"/>
      <c r="D22" s="6"/>
      <c r="E22" s="6"/>
      <c r="F22" s="6"/>
      <c r="G22" s="6"/>
      <c r="H22" s="6"/>
      <c r="I22" s="5"/>
      <c r="J22" s="6"/>
    </row>
    <row r="23" customFormat="false" ht="15" hidden="false" customHeight="false" outlineLevel="0" collapsed="false">
      <c r="A23" s="5"/>
      <c r="B23" s="6"/>
      <c r="C23" s="6"/>
      <c r="D23" s="6"/>
      <c r="E23" s="6"/>
      <c r="F23" s="6"/>
      <c r="G23" s="6"/>
      <c r="H23" s="6"/>
      <c r="I23" s="5"/>
      <c r="J23" s="6"/>
    </row>
    <row r="24" customFormat="false" ht="15" hidden="false" customHeight="false" outlineLevel="0" collapsed="false">
      <c r="A24" s="5"/>
      <c r="B24" s="6"/>
      <c r="C24" s="6"/>
      <c r="D24" s="6"/>
      <c r="E24" s="6"/>
      <c r="F24" s="6"/>
      <c r="G24" s="6"/>
      <c r="H24" s="6"/>
      <c r="I24" s="5"/>
      <c r="J24" s="6"/>
    </row>
    <row r="25" customFormat="false" ht="15" hidden="false" customHeight="false" outlineLevel="0" collapsed="false">
      <c r="A25" s="5"/>
      <c r="B25" s="6"/>
      <c r="C25" s="6"/>
      <c r="D25" s="6"/>
      <c r="E25" s="6"/>
      <c r="F25" s="6"/>
      <c r="G25" s="6"/>
      <c r="H25" s="6"/>
      <c r="I25" s="5"/>
      <c r="J25" s="6"/>
    </row>
    <row r="26" customFormat="false" ht="15" hidden="false" customHeight="false" outlineLevel="0" collapsed="false">
      <c r="A26" s="5"/>
      <c r="B26" s="6"/>
      <c r="C26" s="6"/>
      <c r="D26" s="6"/>
      <c r="E26" s="6"/>
      <c r="F26" s="6"/>
      <c r="G26" s="6"/>
      <c r="H26" s="6"/>
      <c r="I26" s="5"/>
      <c r="J26" s="6"/>
    </row>
    <row r="27" customFormat="false" ht="15" hidden="false" customHeight="false" outlineLevel="0" collapsed="false">
      <c r="A27" s="5"/>
      <c r="B27" s="6"/>
      <c r="C27" s="6"/>
      <c r="D27" s="6"/>
      <c r="E27" s="6"/>
      <c r="F27" s="6"/>
      <c r="G27" s="6"/>
      <c r="H27" s="6"/>
      <c r="I27" s="5"/>
      <c r="J27" s="6"/>
    </row>
    <row r="28" customFormat="false" ht="15" hidden="false" customHeight="false" outlineLevel="0" collapsed="false">
      <c r="A28" s="5"/>
      <c r="B28" s="6"/>
      <c r="C28" s="6"/>
      <c r="D28" s="6"/>
      <c r="E28" s="6"/>
      <c r="F28" s="6"/>
      <c r="G28" s="6"/>
      <c r="H28" s="6"/>
      <c r="I28" s="5"/>
      <c r="J28" s="6"/>
    </row>
    <row r="29" customFormat="false" ht="15" hidden="false" customHeight="false" outlineLevel="0" collapsed="false">
      <c r="A29" s="5"/>
      <c r="B29" s="6"/>
      <c r="C29" s="6"/>
      <c r="D29" s="6"/>
      <c r="E29" s="6"/>
      <c r="F29" s="6"/>
      <c r="G29" s="6"/>
      <c r="H29" s="6"/>
      <c r="I29" s="5"/>
      <c r="J29" s="6"/>
    </row>
    <row r="30" customFormat="false" ht="15" hidden="false" customHeight="false" outlineLevel="0" collapsed="false">
      <c r="A30" s="5"/>
      <c r="B30" s="6"/>
      <c r="C30" s="6"/>
      <c r="D30" s="6"/>
      <c r="E30" s="6"/>
      <c r="F30" s="6"/>
      <c r="G30" s="6"/>
      <c r="H30" s="6"/>
      <c r="I30" s="5"/>
      <c r="J30" s="6"/>
    </row>
    <row r="31" customFormat="false" ht="15" hidden="false" customHeight="false" outlineLevel="0" collapsed="false">
      <c r="A31" s="5"/>
      <c r="B31" s="6"/>
      <c r="C31" s="6"/>
      <c r="D31" s="6"/>
      <c r="E31" s="6"/>
      <c r="F31" s="6"/>
      <c r="G31" s="6"/>
      <c r="H31" s="6"/>
      <c r="I31" s="5"/>
      <c r="J31" s="6"/>
    </row>
    <row r="32" customFormat="false" ht="15" hidden="false" customHeight="false" outlineLevel="0" collapsed="false">
      <c r="A32" s="5"/>
      <c r="B32" s="6"/>
      <c r="C32" s="6"/>
      <c r="D32" s="6"/>
      <c r="E32" s="6"/>
      <c r="F32" s="6"/>
      <c r="G32" s="6"/>
      <c r="H32" s="6"/>
      <c r="I32" s="5"/>
      <c r="J32" s="6"/>
    </row>
    <row r="33" customFormat="false" ht="15" hidden="false" customHeight="false" outlineLevel="0" collapsed="false">
      <c r="A33" s="5"/>
      <c r="B33" s="6"/>
      <c r="C33" s="6"/>
      <c r="D33" s="6"/>
      <c r="E33" s="6"/>
      <c r="F33" s="6"/>
      <c r="G33" s="6"/>
      <c r="H33" s="6"/>
      <c r="I33" s="5"/>
      <c r="J33" s="6"/>
    </row>
    <row r="34" customFormat="false" ht="15" hidden="false" customHeight="false" outlineLevel="0" collapsed="false">
      <c r="A34" s="5"/>
      <c r="B34" s="6"/>
      <c r="C34" s="6"/>
      <c r="D34" s="6"/>
      <c r="E34" s="6"/>
      <c r="F34" s="6"/>
      <c r="G34" s="6"/>
      <c r="H34" s="6"/>
      <c r="I34" s="5"/>
      <c r="J34" s="6"/>
    </row>
  </sheetData>
  <mergeCells count="2">
    <mergeCell ref="A1:J1"/>
    <mergeCell ref="A2:J2"/>
  </mergeCells>
  <dataValidations count="2">
    <dataValidation allowBlank="true" errorStyle="stop" operator="between" showDropDown="false" showErrorMessage="false" showInputMessage="false" sqref="G6:G34" type="list">
      <formula1>"Novo,Contatado,Diagnóstico agendado,Diagnóstico realizado,Proposta enviada,Fechado - ganho,Fechado - perdido"</formula1>
      <formula2>0</formula2>
    </dataValidation>
    <dataValidation allowBlank="true" errorStyle="stop" operator="between" showDropDown="false" showErrorMessage="false" showInputMessage="false" sqref="E6:E34" type="list">
      <formula1>"LinkedIn (post),LinkedIn (perfil pessoal),Landing page,WhatsApp direto,Indicação,Anúncio pago,Outro"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</cols>
  <sheetData>
    <row r="1" customFormat="false" ht="17.35" hidden="false" customHeight="false" outlineLevel="0" collapsed="false">
      <c r="A1" s="1" t="s">
        <v>22</v>
      </c>
      <c r="B1" s="1"/>
      <c r="C1" s="1"/>
    </row>
    <row r="2" customFormat="false" ht="15" hidden="false" customHeight="false" outlineLevel="0" collapsed="false">
      <c r="A2" s="2" t="s">
        <v>23</v>
      </c>
      <c r="B2" s="2"/>
      <c r="C2" s="2"/>
    </row>
    <row r="4" customFormat="false" ht="15" hidden="false" customHeight="false" outlineLevel="0" collapsed="false">
      <c r="A4" s="7" t="s">
        <v>24</v>
      </c>
      <c r="B4" s="7" t="s">
        <v>25</v>
      </c>
    </row>
    <row r="5" customFormat="false" ht="15" hidden="false" customHeight="false" outlineLevel="0" collapsed="false">
      <c r="A5" s="8" t="s">
        <v>26</v>
      </c>
      <c r="B5" s="9" t="n">
        <f aca="false">COUNTA(Leads!B6:B35)</f>
        <v>0</v>
      </c>
    </row>
    <row r="6" customFormat="false" ht="15" hidden="false" customHeight="false" outlineLevel="0" collapsed="false">
      <c r="A6" s="10" t="s">
        <v>27</v>
      </c>
      <c r="B6" s="11" t="n">
        <f aca="false">COUNTIFS(Leads!G6:G35,"Novo")</f>
        <v>0</v>
      </c>
    </row>
    <row r="7" customFormat="false" ht="15" hidden="false" customHeight="false" outlineLevel="0" collapsed="false">
      <c r="A7" s="8" t="s">
        <v>28</v>
      </c>
      <c r="B7" s="9" t="n">
        <f aca="false">COUNTIFS(Leads!G6:G35,"Contatado")</f>
        <v>0</v>
      </c>
    </row>
    <row r="8" customFormat="false" ht="15" hidden="false" customHeight="false" outlineLevel="0" collapsed="false">
      <c r="A8" s="10" t="s">
        <v>29</v>
      </c>
      <c r="B8" s="11" t="n">
        <f aca="false">COUNTIFS(Leads!G6:G35,"Diagnóstico agendado")</f>
        <v>0</v>
      </c>
    </row>
    <row r="9" customFormat="false" ht="15" hidden="false" customHeight="false" outlineLevel="0" collapsed="false">
      <c r="A9" s="8" t="s">
        <v>30</v>
      </c>
      <c r="B9" s="9" t="n">
        <f aca="false">COUNTIFS(Leads!G6:G35,"Diagnóstico realizado")</f>
        <v>0</v>
      </c>
    </row>
    <row r="10" customFormat="false" ht="15" hidden="false" customHeight="false" outlineLevel="0" collapsed="false">
      <c r="A10" s="10" t="s">
        <v>31</v>
      </c>
      <c r="B10" s="11" t="n">
        <f aca="false">COUNTIFS(Leads!G6:G35,"Proposta enviada")</f>
        <v>0</v>
      </c>
    </row>
    <row r="11" customFormat="false" ht="15" hidden="false" customHeight="false" outlineLevel="0" collapsed="false">
      <c r="A11" s="8" t="s">
        <v>32</v>
      </c>
      <c r="B11" s="9" t="n">
        <f aca="false">COUNTIFS(Leads!G6:G35,"Fechado - ganho")</f>
        <v>0</v>
      </c>
    </row>
    <row r="12" customFormat="false" ht="15" hidden="false" customHeight="false" outlineLevel="0" collapsed="false">
      <c r="A12" s="10" t="s">
        <v>33</v>
      </c>
      <c r="B12" s="11" t="n">
        <f aca="false">COUNTIFS(Leads!G6:G35,"Fechado - perdido")</f>
        <v>0</v>
      </c>
    </row>
    <row r="14" customFormat="false" ht="15" hidden="false" customHeight="false" outlineLevel="0" collapsed="false">
      <c r="A14" s="12" t="s">
        <v>34</v>
      </c>
      <c r="B14" s="13" t="n">
        <f aca="false">IFERROR(B11/B5,0)</f>
        <v>0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2026-08-22T20:27:57Z</dcterms:created>
  <dc:creator>openpyxl</dc:creator>
  <dc:description/>
  <dc:language>en-US</dc:language>
  <cp:lastModifiedBy/>
  <dcterms:modified xsi:type="dcterms:W3CDTF">2026-08-22T20:27:57Z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